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obert.winslow\GitHub\posts\econ\table 3.15.5\"/>
    </mc:Choice>
  </mc:AlternateContent>
  <xr:revisionPtr revIDLastSave="0" documentId="13_ncr:1_{0B84417E-16EB-4237-BA4A-5C102148B43D}" xr6:coauthVersionLast="47" xr6:coauthVersionMax="47" xr10:uidLastSave="{00000000-0000-0000-0000-000000000000}"/>
  <bookViews>
    <workbookView xWindow="-14700" yWindow="-7545" windowWidth="14805" windowHeight="15585" xr2:uid="{00000000-000D-0000-FFFF-FFFF00000000}"/>
  </bookViews>
  <sheets>
    <sheet name="Al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8" i="1" l="1"/>
  <c r="D79" i="1"/>
  <c r="D80" i="1"/>
  <c r="D81" i="1"/>
  <c r="D82" i="1"/>
  <c r="D83" i="1"/>
  <c r="D84" i="1"/>
  <c r="D85" i="1"/>
  <c r="D77" i="1"/>
  <c r="D92" i="1"/>
  <c r="D93" i="1"/>
  <c r="D94" i="1"/>
  <c r="D95" i="1"/>
  <c r="D96" i="1"/>
  <c r="D97" i="1"/>
  <c r="D98" i="1"/>
  <c r="D99" i="1"/>
  <c r="D91" i="1"/>
  <c r="D90" i="1"/>
  <c r="D41" i="1"/>
  <c r="D50" i="1" s="1"/>
  <c r="D31" i="1"/>
  <c r="D47" i="1"/>
  <c r="D56" i="1" s="1"/>
  <c r="D42" i="1"/>
  <c r="D51" i="1" s="1"/>
  <c r="D43" i="1"/>
  <c r="D52" i="1" s="1"/>
  <c r="D44" i="1"/>
  <c r="D53" i="1" s="1"/>
  <c r="D45" i="1"/>
  <c r="D54" i="1" s="1"/>
  <c r="D46" i="1"/>
  <c r="D55" i="1" s="1"/>
  <c r="D48" i="1"/>
  <c r="D57" i="1" s="1"/>
  <c r="D49" i="1"/>
  <c r="D58" i="1" s="1"/>
  <c r="H60" i="1"/>
  <c r="H69" i="1"/>
  <c r="H33" i="1"/>
  <c r="H21" i="1"/>
  <c r="H12" i="1"/>
  <c r="H3" i="1"/>
  <c r="H78" i="1" l="1"/>
  <c r="H92" i="1"/>
  <c r="H51" i="1"/>
  <c r="H42" i="1"/>
</calcChain>
</file>

<file path=xl/sharedStrings.xml><?xml version="1.0" encoding="utf-8"?>
<sst xmlns="http://schemas.openxmlformats.org/spreadsheetml/2006/main" count="213" uniqueCount="47">
  <si>
    <t>Category</t>
  </si>
  <si>
    <t>Label</t>
  </si>
  <si>
    <t>color</t>
  </si>
  <si>
    <t>source table</t>
  </si>
  <si>
    <t>Education</t>
  </si>
  <si>
    <t>National defense</t>
  </si>
  <si>
    <t>G_flag</t>
  </si>
  <si>
    <t>Public order and safety</t>
  </si>
  <si>
    <t>Health</t>
  </si>
  <si>
    <t>Housing and community services</t>
  </si>
  <si>
    <t>Economic affairs</t>
  </si>
  <si>
    <t>Income security</t>
  </si>
  <si>
    <t>General public service</t>
  </si>
  <si>
    <t>Recreation and culture</t>
  </si>
  <si>
    <t>Gov Consumption expenditures</t>
  </si>
  <si>
    <t>Government social benefits:</t>
  </si>
  <si>
    <t>Subsidies:</t>
  </si>
  <si>
    <t>value</t>
  </si>
  <si>
    <t>Gross Investment</t>
  </si>
  <si>
    <t>line</t>
  </si>
  <si>
    <t>note</t>
  </si>
  <si>
    <t>3. For more information regarding capital transfers, please see NIPA table 5.11.</t>
  </si>
  <si>
    <t>Capital transfers paid</t>
  </si>
  <si>
    <t>Government Current Expenditures</t>
  </si>
  <si>
    <t>1. Equals consumption expenditures, government social benefits, interest payments, and subsidies; for federal government, also includes grants-in-aid to state and local governments and other current transfer payments to the rest of the world (net). Government, federal government, and state and local government current expenditures are shown separately in tables 3.1, 3.2, and 3.3.</t>
  </si>
  <si>
    <t>current transfer payments to the rest of the world (net)</t>
  </si>
  <si>
    <t>Interest Payments</t>
  </si>
  <si>
    <t>Interest Receipts</t>
  </si>
  <si>
    <t xml:space="preserve">Net Interest </t>
  </si>
  <si>
    <t>Can also be found in Table 3.16, line 5</t>
  </si>
  <si>
    <t>c+sb+int+subs+cttrow</t>
  </si>
  <si>
    <t>Curre exp. - c - sb - int - subs</t>
  </si>
  <si>
    <t>Cf. Table 3.1, line 26</t>
  </si>
  <si>
    <t>Current transfer payments</t>
  </si>
  <si>
    <t>Cf. Table 3.1, line 22</t>
  </si>
  <si>
    <t>Social benefits + cttrow</t>
  </si>
  <si>
    <t>Net purchases of nonproduced assets</t>
  </si>
  <si>
    <t>Consumption of Fixed Capital</t>
  </si>
  <si>
    <t>Total expenditures</t>
  </si>
  <si>
    <t>calculated</t>
  </si>
  <si>
    <t>Estimated CFC</t>
  </si>
  <si>
    <t>Calculated as CFC*share of investment</t>
  </si>
  <si>
    <t>Todo: compare to Fixed assets accounts</t>
  </si>
  <si>
    <t>Consumption of general government fixed capital</t>
  </si>
  <si>
    <t>3.10.5</t>
  </si>
  <si>
    <t>This is the part of depreciation included in G</t>
  </si>
  <si>
    <t>Current Transfers + Capital Transfers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</si>
</sst>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1" xfId="0" applyBorder="1"/>
    <xf numFmtId="0" fontId="0" fillId="0" borderId="0" xfId="0" applyFill="1" applyBorder="1"/>
    <xf numFmtId="0" fontId="0" fillId="0" borderId="1" xfId="0" applyFill="1" applyBorder="1"/>
    <xf numFmtId="0" fontId="0" fillId="0" borderId="0" xfId="0" applyBorder="1"/>
    <xf numFmtId="168" fontId="0" fillId="0" borderId="0" xfId="0" applyNumberFormat="1"/>
    <xf numFmtId="1" fontId="0" fillId="0" borderId="0" xfId="0" applyNumberFormat="1" applyFill="1" applyBorder="1"/>
    <xf numFmtId="1" fontId="0" fillId="0" borderId="1" xfId="0" applyNumberFormat="1" applyFill="1" applyBorder="1"/>
    <xf numFmtId="49" fontId="0" fillId="0" borderId="1" xfId="0" applyNumberFormat="1" applyBorder="1" applyAlignment="1">
      <alignment horizontal="center"/>
    </xf>
    <xf numFmtId="49" fontId="0" fillId="0" borderId="0" xfId="0" applyNumberFormat="1" applyAlignment="1">
      <alignment horizontal="center"/>
    </xf>
    <xf numFmtId="49" fontId="0" fillId="0" borderId="0"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
  <sheetViews>
    <sheetView tabSelected="1" topLeftCell="A79" workbookViewId="0">
      <selection activeCell="G81" sqref="G81"/>
    </sheetView>
  </sheetViews>
  <sheetFormatPr defaultRowHeight="15" x14ac:dyDescent="0.25"/>
  <cols>
    <col min="1" max="1" width="23.42578125" customWidth="1"/>
    <col min="2" max="2" width="31.42578125" customWidth="1"/>
    <col min="3" max="3" width="6.5703125" customWidth="1"/>
    <col min="4" max="4" width="8" bestFit="1" customWidth="1"/>
    <col min="5" max="5" width="11.85546875" style="9" bestFit="1" customWidth="1"/>
    <col min="6" max="6" width="4.42578125" bestFit="1" customWidth="1"/>
  </cols>
  <sheetData>
    <row r="1" spans="1:8" s="1" customFormat="1" x14ac:dyDescent="0.25">
      <c r="A1" s="1" t="s">
        <v>0</v>
      </c>
      <c r="B1" s="1" t="s">
        <v>1</v>
      </c>
      <c r="C1" s="1" t="s">
        <v>2</v>
      </c>
      <c r="D1" s="1" t="s">
        <v>17</v>
      </c>
      <c r="E1" s="8" t="s">
        <v>3</v>
      </c>
      <c r="F1" s="1" t="s">
        <v>19</v>
      </c>
      <c r="G1" s="1" t="s">
        <v>6</v>
      </c>
      <c r="H1" s="1" t="s">
        <v>20</v>
      </c>
    </row>
    <row r="2" spans="1:8" x14ac:dyDescent="0.25">
      <c r="A2" t="s">
        <v>12</v>
      </c>
      <c r="B2" t="s">
        <v>23</v>
      </c>
      <c r="D2">
        <v>1873.4</v>
      </c>
      <c r="E2" s="9">
        <v>3.16</v>
      </c>
      <c r="F2">
        <v>2</v>
      </c>
      <c r="H2" t="s">
        <v>24</v>
      </c>
    </row>
    <row r="3" spans="1:8" x14ac:dyDescent="0.25">
      <c r="A3" t="s">
        <v>5</v>
      </c>
      <c r="B3" t="s">
        <v>23</v>
      </c>
      <c r="D3">
        <v>855.6</v>
      </c>
      <c r="E3" s="9">
        <v>3.16</v>
      </c>
      <c r="F3">
        <v>7</v>
      </c>
      <c r="H3">
        <f>SUM(D2:D10)</f>
        <v>10061.299999999999</v>
      </c>
    </row>
    <row r="4" spans="1:8" x14ac:dyDescent="0.25">
      <c r="A4" t="s">
        <v>7</v>
      </c>
      <c r="B4" t="s">
        <v>23</v>
      </c>
      <c r="D4">
        <v>519.70000000000005</v>
      </c>
      <c r="E4" s="9">
        <v>3.16</v>
      </c>
      <c r="F4">
        <v>8</v>
      </c>
      <c r="H4" t="s">
        <v>30</v>
      </c>
    </row>
    <row r="5" spans="1:8" x14ac:dyDescent="0.25">
      <c r="A5" t="s">
        <v>10</v>
      </c>
      <c r="B5" t="s">
        <v>23</v>
      </c>
      <c r="D5">
        <v>493.9</v>
      </c>
      <c r="E5" s="9">
        <v>3.16</v>
      </c>
      <c r="F5">
        <v>13</v>
      </c>
    </row>
    <row r="6" spans="1:8" x14ac:dyDescent="0.25">
      <c r="A6" t="s">
        <v>9</v>
      </c>
      <c r="B6" t="s">
        <v>23</v>
      </c>
      <c r="D6">
        <v>78.5</v>
      </c>
      <c r="E6" s="9">
        <v>3.16</v>
      </c>
      <c r="F6">
        <v>27</v>
      </c>
    </row>
    <row r="7" spans="1:8" x14ac:dyDescent="0.25">
      <c r="A7" t="s">
        <v>8</v>
      </c>
      <c r="B7" t="s">
        <v>23</v>
      </c>
      <c r="D7">
        <v>2566.1999999999998</v>
      </c>
      <c r="E7" s="9">
        <v>3.16</v>
      </c>
      <c r="F7">
        <v>28</v>
      </c>
    </row>
    <row r="8" spans="1:8" x14ac:dyDescent="0.25">
      <c r="A8" t="s">
        <v>13</v>
      </c>
      <c r="B8" t="s">
        <v>23</v>
      </c>
      <c r="D8">
        <v>55.1</v>
      </c>
      <c r="E8" s="9">
        <v>3.16</v>
      </c>
      <c r="F8">
        <v>29</v>
      </c>
    </row>
    <row r="9" spans="1:8" x14ac:dyDescent="0.25">
      <c r="A9" t="s">
        <v>4</v>
      </c>
      <c r="B9" t="s">
        <v>23</v>
      </c>
      <c r="D9">
        <v>1353.5</v>
      </c>
      <c r="E9" s="9">
        <v>3.16</v>
      </c>
      <c r="F9">
        <v>30</v>
      </c>
    </row>
    <row r="10" spans="1:8" s="1" customFormat="1" x14ac:dyDescent="0.25">
      <c r="A10" s="1" t="s">
        <v>11</v>
      </c>
      <c r="B10" s="1" t="s">
        <v>23</v>
      </c>
      <c r="D10" s="1">
        <v>2265.4</v>
      </c>
      <c r="E10" s="8">
        <v>3.16</v>
      </c>
      <c r="F10" s="1">
        <v>36</v>
      </c>
    </row>
    <row r="11" spans="1:8" x14ac:dyDescent="0.25">
      <c r="A11" t="s">
        <v>12</v>
      </c>
      <c r="B11" t="s">
        <v>14</v>
      </c>
      <c r="D11">
        <v>401.6</v>
      </c>
      <c r="E11" s="9">
        <v>3.17</v>
      </c>
      <c r="F11">
        <v>2</v>
      </c>
    </row>
    <row r="12" spans="1:8" x14ac:dyDescent="0.25">
      <c r="A12" t="s">
        <v>5</v>
      </c>
      <c r="B12" t="s">
        <v>14</v>
      </c>
      <c r="D12">
        <v>854.8</v>
      </c>
      <c r="E12" s="9">
        <v>3.17</v>
      </c>
      <c r="F12">
        <v>3</v>
      </c>
      <c r="H12">
        <f>SUM(D11:D19)</f>
        <v>3991.8</v>
      </c>
    </row>
    <row r="13" spans="1:8" x14ac:dyDescent="0.25">
      <c r="A13" t="s">
        <v>7</v>
      </c>
      <c r="B13" t="s">
        <v>14</v>
      </c>
      <c r="D13">
        <v>519.20000000000005</v>
      </c>
      <c r="E13" s="9">
        <v>3.17</v>
      </c>
      <c r="F13">
        <v>4</v>
      </c>
    </row>
    <row r="14" spans="1:8" x14ac:dyDescent="0.25">
      <c r="A14" t="s">
        <v>10</v>
      </c>
      <c r="B14" t="s">
        <v>14</v>
      </c>
      <c r="D14">
        <v>451.9</v>
      </c>
      <c r="E14" s="9">
        <v>3.17</v>
      </c>
      <c r="F14">
        <v>5</v>
      </c>
    </row>
    <row r="15" spans="1:8" x14ac:dyDescent="0.25">
      <c r="A15" t="s">
        <v>9</v>
      </c>
      <c r="B15" t="s">
        <v>14</v>
      </c>
      <c r="D15">
        <v>14.5</v>
      </c>
      <c r="E15" s="9">
        <v>3.17</v>
      </c>
      <c r="F15">
        <v>6</v>
      </c>
    </row>
    <row r="16" spans="1:8" x14ac:dyDescent="0.25">
      <c r="A16" t="s">
        <v>8</v>
      </c>
      <c r="B16" t="s">
        <v>14</v>
      </c>
      <c r="D16">
        <v>306.5</v>
      </c>
      <c r="E16" s="9">
        <v>3.17</v>
      </c>
      <c r="F16">
        <v>7</v>
      </c>
    </row>
    <row r="17" spans="1:8" x14ac:dyDescent="0.25">
      <c r="A17" t="s">
        <v>13</v>
      </c>
      <c r="B17" t="s">
        <v>14</v>
      </c>
      <c r="D17">
        <v>54.3</v>
      </c>
      <c r="E17" s="9">
        <v>3.17</v>
      </c>
      <c r="F17">
        <v>8</v>
      </c>
    </row>
    <row r="18" spans="1:8" x14ac:dyDescent="0.25">
      <c r="A18" t="s">
        <v>4</v>
      </c>
      <c r="B18" t="s">
        <v>14</v>
      </c>
      <c r="D18">
        <v>1221.2</v>
      </c>
      <c r="E18" s="9">
        <v>3.17</v>
      </c>
      <c r="F18">
        <v>9</v>
      </c>
    </row>
    <row r="19" spans="1:8" s="1" customFormat="1" x14ac:dyDescent="0.25">
      <c r="A19" s="1" t="s">
        <v>11</v>
      </c>
      <c r="B19" s="1" t="s">
        <v>14</v>
      </c>
      <c r="D19" s="1">
        <v>167.8</v>
      </c>
      <c r="E19" s="8">
        <v>3.17</v>
      </c>
      <c r="F19" s="1">
        <v>10</v>
      </c>
    </row>
    <row r="20" spans="1:8" x14ac:dyDescent="0.25">
      <c r="A20" t="s">
        <v>12</v>
      </c>
      <c r="B20" t="s">
        <v>15</v>
      </c>
      <c r="D20">
        <v>2.2999999999999998</v>
      </c>
      <c r="E20" s="9">
        <v>3.17</v>
      </c>
      <c r="F20">
        <v>33</v>
      </c>
    </row>
    <row r="21" spans="1:8" x14ac:dyDescent="0.25">
      <c r="A21" t="s">
        <v>5</v>
      </c>
      <c r="B21" t="s">
        <v>15</v>
      </c>
      <c r="D21">
        <v>0</v>
      </c>
      <c r="H21">
        <f>SUM(D20:D28)</f>
        <v>4490</v>
      </c>
    </row>
    <row r="22" spans="1:8" x14ac:dyDescent="0.25">
      <c r="A22" t="s">
        <v>7</v>
      </c>
      <c r="B22" t="s">
        <v>15</v>
      </c>
      <c r="D22">
        <v>0.5</v>
      </c>
      <c r="E22" s="9">
        <v>3.17</v>
      </c>
      <c r="F22">
        <v>34</v>
      </c>
    </row>
    <row r="23" spans="1:8" x14ac:dyDescent="0.25">
      <c r="A23" t="s">
        <v>10</v>
      </c>
      <c r="B23" t="s">
        <v>15</v>
      </c>
      <c r="D23">
        <v>8.9</v>
      </c>
      <c r="E23" s="9">
        <v>3.17</v>
      </c>
      <c r="F23">
        <v>35</v>
      </c>
    </row>
    <row r="24" spans="1:8" x14ac:dyDescent="0.25">
      <c r="A24" t="s">
        <v>9</v>
      </c>
      <c r="B24" t="s">
        <v>15</v>
      </c>
      <c r="D24">
        <v>0</v>
      </c>
      <c r="E24" s="9">
        <v>3.17</v>
      </c>
      <c r="F24">
        <v>36</v>
      </c>
    </row>
    <row r="25" spans="1:8" x14ac:dyDescent="0.25">
      <c r="A25" t="s">
        <v>8</v>
      </c>
      <c r="B25" t="s">
        <v>15</v>
      </c>
      <c r="D25">
        <v>2257.1</v>
      </c>
      <c r="E25" s="9">
        <v>3.17</v>
      </c>
      <c r="F25">
        <v>37</v>
      </c>
    </row>
    <row r="26" spans="1:8" x14ac:dyDescent="0.25">
      <c r="A26" t="s">
        <v>13</v>
      </c>
      <c r="B26" t="s">
        <v>15</v>
      </c>
      <c r="D26">
        <v>0.8</v>
      </c>
      <c r="E26" s="9">
        <v>3.17</v>
      </c>
      <c r="F26">
        <v>38</v>
      </c>
    </row>
    <row r="27" spans="1:8" x14ac:dyDescent="0.25">
      <c r="A27" t="s">
        <v>4</v>
      </c>
      <c r="B27" t="s">
        <v>15</v>
      </c>
      <c r="D27">
        <v>130.4</v>
      </c>
      <c r="E27" s="9">
        <v>3.17</v>
      </c>
      <c r="F27">
        <v>39</v>
      </c>
    </row>
    <row r="28" spans="1:8" s="1" customFormat="1" x14ac:dyDescent="0.25">
      <c r="A28" s="1" t="s">
        <v>11</v>
      </c>
      <c r="B28" s="1" t="s">
        <v>15</v>
      </c>
      <c r="D28" s="1">
        <v>2090</v>
      </c>
      <c r="E28" s="8">
        <v>3.17</v>
      </c>
      <c r="F28" s="1">
        <v>40</v>
      </c>
    </row>
    <row r="29" spans="1:8" s="4" customFormat="1" x14ac:dyDescent="0.25">
      <c r="A29" s="4" t="s">
        <v>12</v>
      </c>
      <c r="B29" s="4" t="s">
        <v>26</v>
      </c>
      <c r="D29" s="2">
        <v>1397.6</v>
      </c>
      <c r="E29" s="10">
        <v>3.1</v>
      </c>
      <c r="F29" s="2">
        <v>27</v>
      </c>
      <c r="H29" s="4" t="s">
        <v>29</v>
      </c>
    </row>
    <row r="30" spans="1:8" s="4" customFormat="1" x14ac:dyDescent="0.25">
      <c r="A30" s="4" t="s">
        <v>12</v>
      </c>
      <c r="B30" s="4" t="s">
        <v>27</v>
      </c>
      <c r="D30">
        <v>157.4</v>
      </c>
      <c r="E30" s="10">
        <v>3.1</v>
      </c>
      <c r="F30" s="2">
        <v>12</v>
      </c>
    </row>
    <row r="31" spans="1:8" s="1" customFormat="1" x14ac:dyDescent="0.25">
      <c r="A31" s="1" t="s">
        <v>12</v>
      </c>
      <c r="B31" s="1" t="s">
        <v>28</v>
      </c>
      <c r="D31" s="1">
        <f>D29-D30</f>
        <v>1240.1999999999998</v>
      </c>
      <c r="E31" s="8"/>
    </row>
    <row r="32" spans="1:8" x14ac:dyDescent="0.25">
      <c r="A32" t="s">
        <v>12</v>
      </c>
      <c r="B32" t="s">
        <v>16</v>
      </c>
      <c r="D32">
        <v>0</v>
      </c>
      <c r="E32" s="9">
        <v>3.17</v>
      </c>
      <c r="F32">
        <v>79</v>
      </c>
    </row>
    <row r="33" spans="1:8" x14ac:dyDescent="0.25">
      <c r="A33" t="s">
        <v>5</v>
      </c>
      <c r="B33" t="s">
        <v>16</v>
      </c>
      <c r="D33">
        <v>0</v>
      </c>
      <c r="H33">
        <f>SUM(D32:D40)</f>
        <v>94.3</v>
      </c>
    </row>
    <row r="34" spans="1:8" x14ac:dyDescent="0.25">
      <c r="A34" t="s">
        <v>7</v>
      </c>
      <c r="B34" t="s">
        <v>16</v>
      </c>
      <c r="D34">
        <v>0</v>
      </c>
    </row>
    <row r="35" spans="1:8" x14ac:dyDescent="0.25">
      <c r="A35" t="s">
        <v>10</v>
      </c>
      <c r="B35" t="s">
        <v>16</v>
      </c>
      <c r="D35">
        <v>30.5</v>
      </c>
      <c r="E35" s="9">
        <v>3.17</v>
      </c>
      <c r="F35">
        <v>80</v>
      </c>
    </row>
    <row r="36" spans="1:8" x14ac:dyDescent="0.25">
      <c r="A36" t="s">
        <v>9</v>
      </c>
      <c r="B36" t="s">
        <v>16</v>
      </c>
      <c r="D36">
        <v>62.8</v>
      </c>
      <c r="E36" s="9">
        <v>3.17</v>
      </c>
      <c r="F36">
        <v>87</v>
      </c>
    </row>
    <row r="37" spans="1:8" x14ac:dyDescent="0.25">
      <c r="A37" t="s">
        <v>8</v>
      </c>
      <c r="B37" t="s">
        <v>16</v>
      </c>
      <c r="D37">
        <v>1</v>
      </c>
      <c r="E37" s="9">
        <v>3.17</v>
      </c>
      <c r="F37">
        <v>88</v>
      </c>
    </row>
    <row r="38" spans="1:8" x14ac:dyDescent="0.25">
      <c r="A38" t="s">
        <v>13</v>
      </c>
      <c r="B38" t="s">
        <v>16</v>
      </c>
      <c r="D38">
        <v>0</v>
      </c>
    </row>
    <row r="39" spans="1:8" x14ac:dyDescent="0.25">
      <c r="A39" t="s">
        <v>4</v>
      </c>
      <c r="B39" t="s">
        <v>16</v>
      </c>
      <c r="D39">
        <v>0</v>
      </c>
    </row>
    <row r="40" spans="1:8" s="1" customFormat="1" x14ac:dyDescent="0.25">
      <c r="A40" s="1" t="s">
        <v>11</v>
      </c>
      <c r="B40" s="1" t="s">
        <v>16</v>
      </c>
      <c r="D40" s="1">
        <v>0</v>
      </c>
      <c r="E40" s="8"/>
    </row>
    <row r="41" spans="1:8" x14ac:dyDescent="0.25">
      <c r="A41" t="s">
        <v>12</v>
      </c>
      <c r="B41" t="s">
        <v>25</v>
      </c>
      <c r="D41">
        <f>D2-D11-D20-D32-D29</f>
        <v>71.900000000000318</v>
      </c>
      <c r="H41" t="s">
        <v>31</v>
      </c>
    </row>
    <row r="42" spans="1:8" x14ac:dyDescent="0.25">
      <c r="A42" t="s">
        <v>5</v>
      </c>
      <c r="B42" t="s">
        <v>25</v>
      </c>
      <c r="D42">
        <f>D3-D12-D21-D33</f>
        <v>0.80000000000006821</v>
      </c>
      <c r="H42">
        <f>SUM(D41:D49)</f>
        <v>87.600000000000151</v>
      </c>
    </row>
    <row r="43" spans="1:8" x14ac:dyDescent="0.25">
      <c r="A43" t="s">
        <v>7</v>
      </c>
      <c r="B43" t="s">
        <v>25</v>
      </c>
      <c r="D43">
        <f>D4-D13-D22-D34</f>
        <v>0</v>
      </c>
      <c r="H43" t="s">
        <v>32</v>
      </c>
    </row>
    <row r="44" spans="1:8" x14ac:dyDescent="0.25">
      <c r="A44" t="s">
        <v>10</v>
      </c>
      <c r="B44" t="s">
        <v>25</v>
      </c>
      <c r="D44">
        <f>D5-D14-D23-D35</f>
        <v>2.6000000000000014</v>
      </c>
    </row>
    <row r="45" spans="1:8" x14ac:dyDescent="0.25">
      <c r="A45" t="s">
        <v>9</v>
      </c>
      <c r="B45" t="s">
        <v>25</v>
      </c>
      <c r="D45">
        <f>D6-D15-D24-D36</f>
        <v>1.2000000000000028</v>
      </c>
    </row>
    <row r="46" spans="1:8" x14ac:dyDescent="0.25">
      <c r="A46" t="s">
        <v>8</v>
      </c>
      <c r="B46" t="s">
        <v>25</v>
      </c>
      <c r="D46">
        <f>D7-D16-D25-D37</f>
        <v>1.5999999999999091</v>
      </c>
    </row>
    <row r="47" spans="1:8" x14ac:dyDescent="0.25">
      <c r="A47" t="s">
        <v>13</v>
      </c>
      <c r="B47" t="s">
        <v>25</v>
      </c>
      <c r="D47" s="5">
        <f>D8-D17-D26-D38</f>
        <v>4.2188474935755949E-15</v>
      </c>
    </row>
    <row r="48" spans="1:8" x14ac:dyDescent="0.25">
      <c r="A48" t="s">
        <v>4</v>
      </c>
      <c r="B48" t="s">
        <v>25</v>
      </c>
      <c r="D48">
        <f>D9-D18-D27-D39</f>
        <v>1.8999999999999488</v>
      </c>
    </row>
    <row r="49" spans="1:8" s="1" customFormat="1" x14ac:dyDescent="0.25">
      <c r="A49" s="1" t="s">
        <v>11</v>
      </c>
      <c r="B49" s="1" t="s">
        <v>25</v>
      </c>
      <c r="D49" s="1">
        <f>D10-D19-D28-D40</f>
        <v>7.5999999999999091</v>
      </c>
      <c r="E49" s="8"/>
    </row>
    <row r="50" spans="1:8" x14ac:dyDescent="0.25">
      <c r="A50" t="s">
        <v>12</v>
      </c>
      <c r="B50" t="s">
        <v>33</v>
      </c>
      <c r="D50">
        <f>D20+D41</f>
        <v>74.200000000000315</v>
      </c>
      <c r="H50" t="s">
        <v>35</v>
      </c>
    </row>
    <row r="51" spans="1:8" x14ac:dyDescent="0.25">
      <c r="A51" t="s">
        <v>5</v>
      </c>
      <c r="B51" t="s">
        <v>33</v>
      </c>
      <c r="D51">
        <f t="shared" ref="D51:D58" si="0">D21+D42</f>
        <v>0.80000000000006821</v>
      </c>
      <c r="H51">
        <f>SUM(D50:D58)</f>
        <v>4577.6000000000004</v>
      </c>
    </row>
    <row r="52" spans="1:8" x14ac:dyDescent="0.25">
      <c r="A52" t="s">
        <v>7</v>
      </c>
      <c r="B52" t="s">
        <v>33</v>
      </c>
      <c r="D52">
        <f t="shared" si="0"/>
        <v>0.5</v>
      </c>
      <c r="H52" t="s">
        <v>34</v>
      </c>
    </row>
    <row r="53" spans="1:8" x14ac:dyDescent="0.25">
      <c r="A53" t="s">
        <v>10</v>
      </c>
      <c r="B53" t="s">
        <v>33</v>
      </c>
      <c r="D53">
        <f t="shared" si="0"/>
        <v>11.500000000000002</v>
      </c>
    </row>
    <row r="54" spans="1:8" x14ac:dyDescent="0.25">
      <c r="A54" t="s">
        <v>9</v>
      </c>
      <c r="B54" t="s">
        <v>33</v>
      </c>
      <c r="D54">
        <f t="shared" si="0"/>
        <v>1.2000000000000028</v>
      </c>
    </row>
    <row r="55" spans="1:8" x14ac:dyDescent="0.25">
      <c r="A55" t="s">
        <v>8</v>
      </c>
      <c r="B55" t="s">
        <v>33</v>
      </c>
      <c r="D55">
        <f t="shared" si="0"/>
        <v>2258.6999999999998</v>
      </c>
    </row>
    <row r="56" spans="1:8" x14ac:dyDescent="0.25">
      <c r="A56" t="s">
        <v>13</v>
      </c>
      <c r="B56" t="s">
        <v>33</v>
      </c>
      <c r="D56">
        <f t="shared" si="0"/>
        <v>0.80000000000000426</v>
      </c>
    </row>
    <row r="57" spans="1:8" x14ac:dyDescent="0.25">
      <c r="A57" t="s">
        <v>4</v>
      </c>
      <c r="B57" t="s">
        <v>33</v>
      </c>
      <c r="D57">
        <f t="shared" si="0"/>
        <v>132.29999999999995</v>
      </c>
    </row>
    <row r="58" spans="1:8" s="1" customFormat="1" x14ac:dyDescent="0.25">
      <c r="A58" s="1" t="s">
        <v>11</v>
      </c>
      <c r="B58" s="1" t="s">
        <v>33</v>
      </c>
      <c r="D58" s="1">
        <f t="shared" si="0"/>
        <v>2097.6</v>
      </c>
      <c r="E58" s="8"/>
    </row>
    <row r="59" spans="1:8" x14ac:dyDescent="0.25">
      <c r="A59" t="s">
        <v>12</v>
      </c>
      <c r="B59" t="s">
        <v>18</v>
      </c>
      <c r="D59">
        <v>62.7</v>
      </c>
      <c r="E59" s="9">
        <v>3.17</v>
      </c>
      <c r="F59">
        <v>106</v>
      </c>
    </row>
    <row r="60" spans="1:8" x14ac:dyDescent="0.25">
      <c r="A60" t="s">
        <v>5</v>
      </c>
      <c r="B60" t="s">
        <v>18</v>
      </c>
      <c r="D60">
        <v>228</v>
      </c>
      <c r="E60" s="9">
        <v>3.17</v>
      </c>
      <c r="F60">
        <v>107</v>
      </c>
      <c r="H60">
        <f>SUM(D59:D67)</f>
        <v>1049.4000000000001</v>
      </c>
    </row>
    <row r="61" spans="1:8" x14ac:dyDescent="0.25">
      <c r="A61" t="s">
        <v>7</v>
      </c>
      <c r="B61" t="s">
        <v>18</v>
      </c>
      <c r="D61">
        <v>31</v>
      </c>
      <c r="E61" s="9">
        <v>3.17</v>
      </c>
      <c r="F61">
        <v>108</v>
      </c>
    </row>
    <row r="62" spans="1:8" x14ac:dyDescent="0.25">
      <c r="A62" t="s">
        <v>10</v>
      </c>
      <c r="B62" t="s">
        <v>18</v>
      </c>
      <c r="D62">
        <v>303.39999999999998</v>
      </c>
      <c r="E62" s="9">
        <v>3.17</v>
      </c>
      <c r="F62">
        <v>109</v>
      </c>
    </row>
    <row r="63" spans="1:8" x14ac:dyDescent="0.25">
      <c r="A63" t="s">
        <v>9</v>
      </c>
      <c r="B63" t="s">
        <v>18</v>
      </c>
      <c r="D63">
        <v>74.900000000000006</v>
      </c>
      <c r="E63" s="9">
        <v>3.17</v>
      </c>
      <c r="F63">
        <v>110</v>
      </c>
    </row>
    <row r="64" spans="1:8" x14ac:dyDescent="0.25">
      <c r="A64" t="s">
        <v>8</v>
      </c>
      <c r="B64" t="s">
        <v>18</v>
      </c>
      <c r="D64">
        <v>142</v>
      </c>
      <c r="E64" s="9">
        <v>3.17</v>
      </c>
      <c r="F64">
        <v>111</v>
      </c>
    </row>
    <row r="65" spans="1:8" x14ac:dyDescent="0.25">
      <c r="A65" t="s">
        <v>13</v>
      </c>
      <c r="B65" t="s">
        <v>18</v>
      </c>
      <c r="D65">
        <v>16.5</v>
      </c>
      <c r="E65" s="9">
        <v>3.17</v>
      </c>
      <c r="F65">
        <v>112</v>
      </c>
    </row>
    <row r="66" spans="1:8" x14ac:dyDescent="0.25">
      <c r="A66" t="s">
        <v>4</v>
      </c>
      <c r="B66" t="s">
        <v>18</v>
      </c>
      <c r="D66">
        <v>183</v>
      </c>
      <c r="E66" s="9">
        <v>3.17</v>
      </c>
      <c r="F66">
        <v>113</v>
      </c>
    </row>
    <row r="67" spans="1:8" s="1" customFormat="1" x14ac:dyDescent="0.25">
      <c r="A67" s="1" t="s">
        <v>11</v>
      </c>
      <c r="B67" s="1" t="s">
        <v>18</v>
      </c>
      <c r="D67" s="1">
        <v>7.9</v>
      </c>
      <c r="E67" s="8">
        <v>3.17</v>
      </c>
      <c r="F67" s="1">
        <v>114</v>
      </c>
    </row>
    <row r="68" spans="1:8" x14ac:dyDescent="0.25">
      <c r="A68" t="s">
        <v>12</v>
      </c>
      <c r="B68" s="2" t="s">
        <v>22</v>
      </c>
      <c r="D68" s="2">
        <v>43.1</v>
      </c>
      <c r="E68" s="10">
        <v>3.17</v>
      </c>
      <c r="F68" s="2">
        <v>135</v>
      </c>
      <c r="H68" t="s">
        <v>21</v>
      </c>
    </row>
    <row r="69" spans="1:8" x14ac:dyDescent="0.25">
      <c r="A69" t="s">
        <v>5</v>
      </c>
      <c r="B69" s="2" t="s">
        <v>22</v>
      </c>
      <c r="H69">
        <f>SUM(D68:D76)</f>
        <v>96.600000000000009</v>
      </c>
    </row>
    <row r="70" spans="1:8" x14ac:dyDescent="0.25">
      <c r="A70" t="s">
        <v>7</v>
      </c>
      <c r="B70" s="2" t="s">
        <v>22</v>
      </c>
    </row>
    <row r="71" spans="1:8" x14ac:dyDescent="0.25">
      <c r="A71" t="s">
        <v>10</v>
      </c>
      <c r="B71" s="2" t="s">
        <v>22</v>
      </c>
      <c r="D71">
        <v>14.3</v>
      </c>
      <c r="E71" s="9">
        <v>3.17</v>
      </c>
      <c r="F71">
        <v>136</v>
      </c>
    </row>
    <row r="72" spans="1:8" x14ac:dyDescent="0.25">
      <c r="A72" t="s">
        <v>9</v>
      </c>
      <c r="B72" s="2" t="s">
        <v>22</v>
      </c>
      <c r="D72">
        <v>12.6</v>
      </c>
      <c r="E72" s="9">
        <v>3.17</v>
      </c>
      <c r="F72">
        <v>143</v>
      </c>
    </row>
    <row r="73" spans="1:8" x14ac:dyDescent="0.25">
      <c r="A73" t="s">
        <v>8</v>
      </c>
      <c r="B73" s="2" t="s">
        <v>22</v>
      </c>
      <c r="D73">
        <v>11.4</v>
      </c>
      <c r="E73" s="9">
        <v>3.17</v>
      </c>
      <c r="F73">
        <v>144</v>
      </c>
    </row>
    <row r="74" spans="1:8" x14ac:dyDescent="0.25">
      <c r="A74" t="s">
        <v>13</v>
      </c>
      <c r="B74" s="2" t="s">
        <v>22</v>
      </c>
    </row>
    <row r="75" spans="1:8" x14ac:dyDescent="0.25">
      <c r="A75" t="s">
        <v>4</v>
      </c>
      <c r="B75" s="2" t="s">
        <v>22</v>
      </c>
    </row>
    <row r="76" spans="1:8" s="1" customFormat="1" x14ac:dyDescent="0.25">
      <c r="A76" s="1" t="s">
        <v>11</v>
      </c>
      <c r="B76" s="3" t="s">
        <v>22</v>
      </c>
      <c r="D76" s="1">
        <v>15.2</v>
      </c>
      <c r="E76" s="8">
        <v>3.17</v>
      </c>
      <c r="F76" s="1">
        <v>145</v>
      </c>
    </row>
    <row r="77" spans="1:8" x14ac:dyDescent="0.25">
      <c r="A77" t="s">
        <v>12</v>
      </c>
      <c r="B77" s="2" t="s">
        <v>22</v>
      </c>
      <c r="D77" s="2">
        <f>D68+D50</f>
        <v>117.30000000000032</v>
      </c>
      <c r="E77" s="10"/>
      <c r="F77" s="2"/>
      <c r="H77" t="s">
        <v>46</v>
      </c>
    </row>
    <row r="78" spans="1:8" x14ac:dyDescent="0.25">
      <c r="A78" t="s">
        <v>5</v>
      </c>
      <c r="B78" s="2" t="s">
        <v>22</v>
      </c>
      <c r="D78" s="2">
        <f t="shared" ref="D78:D85" si="1">D69+D51</f>
        <v>0.80000000000006821</v>
      </c>
      <c r="H78">
        <f>SUM(D77:D85)</f>
        <v>4674.2000000000007</v>
      </c>
    </row>
    <row r="79" spans="1:8" x14ac:dyDescent="0.25">
      <c r="A79" t="s">
        <v>7</v>
      </c>
      <c r="B79" s="2" t="s">
        <v>22</v>
      </c>
      <c r="D79" s="2">
        <f t="shared" si="1"/>
        <v>0.5</v>
      </c>
    </row>
    <row r="80" spans="1:8" x14ac:dyDescent="0.25">
      <c r="A80" t="s">
        <v>10</v>
      </c>
      <c r="B80" s="2" t="s">
        <v>22</v>
      </c>
      <c r="D80" s="2">
        <f t="shared" si="1"/>
        <v>25.800000000000004</v>
      </c>
    </row>
    <row r="81" spans="1:8" x14ac:dyDescent="0.25">
      <c r="A81" t="s">
        <v>9</v>
      </c>
      <c r="B81" s="2" t="s">
        <v>22</v>
      </c>
      <c r="D81" s="2">
        <f t="shared" si="1"/>
        <v>13.800000000000002</v>
      </c>
    </row>
    <row r="82" spans="1:8" x14ac:dyDescent="0.25">
      <c r="A82" t="s">
        <v>8</v>
      </c>
      <c r="B82" s="2" t="s">
        <v>22</v>
      </c>
      <c r="D82" s="2">
        <f t="shared" si="1"/>
        <v>2270.1</v>
      </c>
    </row>
    <row r="83" spans="1:8" x14ac:dyDescent="0.25">
      <c r="A83" t="s">
        <v>13</v>
      </c>
      <c r="B83" s="2" t="s">
        <v>22</v>
      </c>
      <c r="D83" s="2">
        <f t="shared" si="1"/>
        <v>0.80000000000000426</v>
      </c>
    </row>
    <row r="84" spans="1:8" x14ac:dyDescent="0.25">
      <c r="A84" t="s">
        <v>4</v>
      </c>
      <c r="B84" s="2" t="s">
        <v>22</v>
      </c>
      <c r="D84" s="2">
        <f t="shared" si="1"/>
        <v>132.29999999999995</v>
      </c>
    </row>
    <row r="85" spans="1:8" s="1" customFormat="1" x14ac:dyDescent="0.25">
      <c r="A85" s="1" t="s">
        <v>11</v>
      </c>
      <c r="B85" s="3" t="s">
        <v>22</v>
      </c>
      <c r="D85" s="3">
        <f t="shared" si="1"/>
        <v>2112.7999999999997</v>
      </c>
      <c r="E85" s="8"/>
    </row>
    <row r="86" spans="1:8" x14ac:dyDescent="0.25">
      <c r="A86" s="2" t="s">
        <v>36</v>
      </c>
      <c r="D86" s="2">
        <v>20.5</v>
      </c>
      <c r="E86" s="10">
        <v>3.1</v>
      </c>
      <c r="F86" s="2">
        <v>41</v>
      </c>
    </row>
    <row r="87" spans="1:8" x14ac:dyDescent="0.25">
      <c r="A87" s="2" t="s">
        <v>37</v>
      </c>
      <c r="D87" s="2">
        <v>803.8</v>
      </c>
      <c r="E87" s="10">
        <v>3.1</v>
      </c>
      <c r="F87" s="2">
        <v>42</v>
      </c>
    </row>
    <row r="88" spans="1:8" x14ac:dyDescent="0.25">
      <c r="A88" s="2" t="s">
        <v>43</v>
      </c>
      <c r="D88" s="2">
        <v>691.9</v>
      </c>
      <c r="E88" s="10" t="s">
        <v>44</v>
      </c>
      <c r="F88" s="2">
        <v>5</v>
      </c>
      <c r="H88" t="s">
        <v>45</v>
      </c>
    </row>
    <row r="89" spans="1:8" x14ac:dyDescent="0.25">
      <c r="A89" s="2" t="s">
        <v>38</v>
      </c>
      <c r="D89" s="2">
        <v>10424.1</v>
      </c>
      <c r="E89" s="10">
        <v>3.1</v>
      </c>
      <c r="F89" s="2">
        <v>37</v>
      </c>
    </row>
    <row r="90" spans="1:8" s="1" customFormat="1" x14ac:dyDescent="0.25">
      <c r="A90" s="3" t="s">
        <v>38</v>
      </c>
      <c r="B90" s="1" t="s">
        <v>39</v>
      </c>
      <c r="D90" s="1">
        <f>SUM(D2:D10)+SUM(D59:D67)+SUM(D68:D76)+D86-D87</f>
        <v>10424</v>
      </c>
      <c r="E90" s="8"/>
    </row>
    <row r="91" spans="1:8" x14ac:dyDescent="0.25">
      <c r="A91" t="s">
        <v>12</v>
      </c>
      <c r="B91" s="2" t="s">
        <v>40</v>
      </c>
      <c r="D91" s="6">
        <f>D$87 * D59 / SUM(D$59:D$67)</f>
        <v>48.025786163522014</v>
      </c>
      <c r="E91" s="10"/>
      <c r="F91" s="2"/>
      <c r="H91" t="s">
        <v>41</v>
      </c>
    </row>
    <row r="92" spans="1:8" x14ac:dyDescent="0.25">
      <c r="A92" t="s">
        <v>5</v>
      </c>
      <c r="B92" s="2" t="s">
        <v>40</v>
      </c>
      <c r="D92" s="6">
        <f>D$87 * D60 / SUM(D$59:D$67)</f>
        <v>174.6392224128073</v>
      </c>
      <c r="H92">
        <f>SUM(D91:D99)</f>
        <v>803.79999999999984</v>
      </c>
    </row>
    <row r="93" spans="1:8" x14ac:dyDescent="0.25">
      <c r="A93" t="s">
        <v>7</v>
      </c>
      <c r="B93" s="2" t="s">
        <v>40</v>
      </c>
      <c r="D93" s="6">
        <f>D$87 * D61 / SUM(D$59:D$67)</f>
        <v>23.744806556127308</v>
      </c>
      <c r="H93" t="s">
        <v>42</v>
      </c>
    </row>
    <row r="94" spans="1:8" x14ac:dyDescent="0.25">
      <c r="A94" t="s">
        <v>10</v>
      </c>
      <c r="B94" s="2" t="s">
        <v>40</v>
      </c>
      <c r="D94" s="6">
        <f>D$87 * D62 / SUM(D$59:D$67)</f>
        <v>232.39271964932337</v>
      </c>
    </row>
    <row r="95" spans="1:8" x14ac:dyDescent="0.25">
      <c r="A95" t="s">
        <v>9</v>
      </c>
      <c r="B95" s="2" t="s">
        <v>40</v>
      </c>
      <c r="D95" s="6">
        <f>D$87 * D63 / SUM(D$59:D$67)</f>
        <v>57.370516485610821</v>
      </c>
    </row>
    <row r="96" spans="1:8" x14ac:dyDescent="0.25">
      <c r="A96" t="s">
        <v>8</v>
      </c>
      <c r="B96" s="2" t="s">
        <v>40</v>
      </c>
      <c r="D96" s="6">
        <f>D$87 * D64 / SUM(D$59:D$67)</f>
        <v>108.76653325709928</v>
      </c>
    </row>
    <row r="97" spans="1:5" x14ac:dyDescent="0.25">
      <c r="A97" t="s">
        <v>13</v>
      </c>
      <c r="B97" s="2" t="s">
        <v>40</v>
      </c>
      <c r="D97" s="6">
        <f>D$87 * D65 / SUM(D$59:D$67)</f>
        <v>12.638364779874212</v>
      </c>
    </row>
    <row r="98" spans="1:5" x14ac:dyDescent="0.25">
      <c r="A98" t="s">
        <v>4</v>
      </c>
      <c r="B98" s="2" t="s">
        <v>40</v>
      </c>
      <c r="D98" s="6">
        <f>D$87 * D66 / SUM(D$59:D$67)</f>
        <v>140.17095483133218</v>
      </c>
    </row>
    <row r="99" spans="1:5" s="1" customFormat="1" x14ac:dyDescent="0.25">
      <c r="A99" s="1" t="s">
        <v>11</v>
      </c>
      <c r="B99" s="3" t="s">
        <v>40</v>
      </c>
      <c r="D99" s="7">
        <f>D$87 * D67 / SUM(D$59:D$67)</f>
        <v>6.0510958643034103</v>
      </c>
      <c r="E99" s="8"/>
    </row>
  </sheetData>
  <pageMargins left="0.7" right="0.7" top="0.75" bottom="0.75" header="0.3" footer="0.3"/>
  <pageSetup orientation="portrait" copies="4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Winslow, Robert</dc:creator>
  <cp:lastModifiedBy>Winslow, Robert</cp:lastModifiedBy>
  <dcterms:created xsi:type="dcterms:W3CDTF">2015-06-05T18:17:20Z</dcterms:created>
  <dcterms:modified xsi:type="dcterms:W3CDTF">2025-12-12T02:35:59Z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b311d3-aea9-4488-bc88-99739ecc7603_Enabled">
    <vt:lpwstr>true</vt:lpwstr>
  </property>
  <property fmtid="{D5CDD505-2E9C-101B-9397-08002B2CF9AE}" pid="3" name="MSIP_Label_8cb311d3-aea9-4488-bc88-99739ecc7603_SetDate">
    <vt:lpwstr>2025-12-11T22:46:05Z</vt:lpwstr>
  </property>
  <property fmtid="{D5CDD505-2E9C-101B-9397-08002B2CF9AE}" pid="4" name="MSIP_Label_8cb311d3-aea9-4488-bc88-99739ecc7603_Method">
    <vt:lpwstr>Standard</vt:lpwstr>
  </property>
  <property fmtid="{D5CDD505-2E9C-101B-9397-08002B2CF9AE}" pid="5" name="MSIP_Label_8cb311d3-aea9-4488-bc88-99739ecc7603_Name">
    <vt:lpwstr>Internal - University</vt:lpwstr>
  </property>
  <property fmtid="{D5CDD505-2E9C-101B-9397-08002B2CF9AE}" pid="6" name="MSIP_Label_8cb311d3-aea9-4488-bc88-99739ecc7603_SiteId">
    <vt:lpwstr>9c36a7d0-bf7b-4991-9b78-be91a52f0226</vt:lpwstr>
  </property>
  <property fmtid="{D5CDD505-2E9C-101B-9397-08002B2CF9AE}" pid="7" name="MSIP_Label_8cb311d3-aea9-4488-bc88-99739ecc7603_ActionId">
    <vt:lpwstr>8663635c-9aa1-422f-a666-7e7035ab00a5</vt:lpwstr>
  </property>
  <property fmtid="{D5CDD505-2E9C-101B-9397-08002B2CF9AE}" pid="8" name="MSIP_Label_8cb311d3-aea9-4488-bc88-99739ecc7603_ContentBits">
    <vt:lpwstr>0</vt:lpwstr>
  </property>
  <property fmtid="{D5CDD505-2E9C-101B-9397-08002B2CF9AE}" pid="9" name="MSIP_Label_8cb311d3-aea9-4488-bc88-99739ecc7603_Tag">
    <vt:lpwstr>10, 3, 0, 1</vt:lpwstr>
  </property>
</Properties>
</file>